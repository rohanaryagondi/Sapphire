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min.harwood\Downloads\"/>
    </mc:Choice>
  </mc:AlternateContent>
  <xr:revisionPtr revIDLastSave="0" documentId="13_ncr:1_{1ACABC63-CF0F-4CCB-99B9-E7444451124C}" xr6:coauthVersionLast="47" xr6:coauthVersionMax="47" xr10:uidLastSave="{00000000-0000-0000-0000-000000000000}"/>
  <bookViews>
    <workbookView xWindow="-15945" yWindow="-16485" windowWidth="29040" windowHeight="15720" xr2:uid="{DD801397-0541-4734-9D5A-831E7DF789A6}"/>
  </bookViews>
  <sheets>
    <sheet name="Sheet1" sheetId="1" r:id="rId1"/>
    <sheet name="Smile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2" l="1" a="1"/>
  <c r="C2" i="2" a="1"/>
  <c r="C3" i="2" l="1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Amy Elder</author>
  </authors>
  <commentList>
    <comment ref="A2" authorId="0" shapeId="0" xr:uid="{D39FD468-4482-4BAA-BBCD-FDE885CBF385}">
      <text>
        <r>
          <rPr>
            <sz val="9"/>
            <color indexed="81"/>
            <rFont val="Tahoma"/>
            <family val="2"/>
          </rPr>
          <t>QzE3SDE5QnJOMk8zU3xQaWN0dXJlIDh8Vm1wRFJEQXhNREFFQXdJQkFBQUFBQUFBQUFBQUFBQ0FBQUFBQUFNQUV3QUFBRU5vWlcxRWNtRjNJREl6TGpFdU1pNDNDQUFUQUFBQVZXNTBhWFJzWldRZ1JHOWpkVzFsYm5RRUFoQUFlay96QUJrUzJRQ3VhMTBCUHlGREFRRUpDQUFBZ0JrQUFJQVpBQUlKQ0FBQXdDRUFBTUMxQWcwSUFRQUJDQWNCQUFFNkJBRUFBVHNFQVFBQVJRUUJBQUU4QkFFQUFFb0VBUUFBREFZQkFBRVBCZ0VBQVEwR0FRQUFRZ1FCQUFCREJBRUFBRVFFQVFBQURnZ0NBQWdV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R2IzSnRkV3hoT2lDMkN3NEFBQUJGZUdGamRDQk5ZWE56T2lDM0N4UUFBQUJOYjJ4bFkzVnNZWElnVjJWcFoyaDBPaUM0Q3djQUFBQnRMM282SUxrTEZnQUFBRVZzWlcxbGJuUmhiQ0JCYm1Gc2VYTnBjem9ndWdzUkFBQUFRbTlwYkdsdVp5QlFiMmx1ZERvZ3V3c1JBQUFBVFdWc2RHbHVaeUJRYjJsdWREb2d2QXNSQUFBQVEzSnBkR2xqWVd3Z1ZHVnRjRG9ndlFzUkFBQUFRM0pwZEdsallXd2dVSEpsY3pvZ3Znc1FBQUFBUTNKcGRHbGpZV3dnVm05c09pQy9DeEFBQUFCSGFXSmljeUJGYm1WeVozazZJTUFMQ1FBQUFFeHZaeUJRT2lEQkN3WUFBQUJOVWpvZ3dnc1BBQUFBU0dWdWNua25jeUJNWVhjNklNTUxFQUFBQUVobFlYUWdiMllnUm05eWJUb2d4QXNJQUFBQWRGQlRRVG9neFFzSkFBQUFRMHh2WjFBNklNWUxCd0FBQUVOTlVqb2d4d3NJQUFBQVRHOW5Vem9neUFzSEFBQUFjRXRoT2lESkN3SUFBQURLQ3dJQUFBQUxEQUlBQVFBS0RBRUFBQWtNQVFBQURBd0ZBQUFBS0NNcEFZQmhBUUFBQkFJUUFBQUFBQUFBQUFBQTlxWndBVzJZeVJNV0NBUUFBQUFrQUJnSUJBQUFBQ1FBR1FnQUFCQUlBZ0FCQUE4SUFnQUJBQU9BTGdFQUFBUUNFQUI2VC9NQUdSTFpBSzVyWFFFL0lVTUJDZ0FDQU5jQUJJQXZBUUFBQUFJSUFKSnNNUUcrZ09zQUNnQUNBTmdBQWdRQ0FCQUFLd1FDQUFBQVNBUUFBRGNFQVFBQlRRUUVBQUVBQUFBR2dBQUFBQUFBQWdnQStGSTFBZjRxNkFBRUFoQUFvOTBzQWY0cTZBQ1NiRFVCZnRidUFDTUlBUUFBQWdjQ0FBQUFBQWNOQUFFQUFBQURBR0FBeUFBQUFGTUpCdzBBQVFBQUFBTUFZQURJQUFBQVV3QUFBQUFFZ0RBQkFBQUFBZ2dBdlFwQUFhUmI2d0FLQUFJQTJRQUNCQUlBQndBckJBSUFBQUJJQkFBQU53UUJBQUZOQkFRQUFnQUFBQWFBQUFBQUFBQUNDQUFqOFVNQlJML25BQVFDRUFDcm1Uc0JSTC9uQUNQeFF3RUUrTzRBSXdnQkFBQUNCd0lBQUFBQUJ3MEFBUUFBQUFNQVlBRElBQUFBVGdrSERRQUJBQUFBQXdCZ0FNZ0FBQUJPQUFBQUFBU0FNUUVBQUFBQ0NBQU9Qa2NCbjh2M0FBb0FBZ0RhQURjRUFRQUJUUVFFQUFNQUFBQUFBQVNBTWdFQUFBQUNDQUM5Q2tBQjVYSUVBUW9BQWdEYkFEY0VBUUFCVFFRRUFBUUFBQUFBQUFTQU13RUFBQUFDQ0FDbUJpTUJwRnZyQUFvQUFnRGNBRGNFQVFBQlRRUUVBQVVBQUFBQUFBU0FOQUVBQUFBQ0NBQW9ZMGNCb3VJUUFRb0FBZ0RkQUFJRUFnQUhBQ3NFQWdBQkFFZ0VBQUEzQkFFQUFVMEVCQUFHQUFBQUJvQUFBQUFBQUFJSUFJNUpTd0ZDUmcwQkJBSVFBQmJ5UWdGQ1JnMEJCYUZUQVFKL0ZBRWpDQUVBQUFJSEFnQUFBQVVIQVFBRkJBY0dBQUlBQWdBREFBQUhEZ0FCQUFBQUF3QmdBTWdBQUFCT1NBa0hEZ0FCQUFBQUF3QmdBTWdBQUFCT1NBQUFBQUFFZ0RVQkFBQUFBZ2dBa213eEFibjEzQUFLQUFJQTNnQUNCQUlBQ0FBckJBSUFBQUJJQkFBQU53UUJBQUZOQkFRQUJ3QUFBQWFBQUFBQUFBQUNDQUQ0VWpVQkdSTFpBQVFDRUFDajNTd0JHUkxaQUpKc05RRloyZUFBSXdnQkFBQUNCd0lBQUFBQUJ3MEFBUUFBQUFNQVlBRElBQUFBVHdrSERRQUJBQUFBQXdCZ0FNZ0FBQUJQQUFBQUFBU0FOZ0VBQUFBQ0NBQ1NiREVCMFBuNUFBb0FBZ0RmQUFJRUFnQUlBQ3NFQWdBQUFFZ0VBQUEzQkFFQUFVMEVCQUFJQUFBQUJvQUFBQUFBQUFJSUFQaFNOUUV3RnZZQUJBSVFBS1BkTEFFd0Z2WUFrbXcxQVhEZC9RQWpDQUVBQUFJSEFnQUFBQUFIRFFBQkFBQUFBd0JnQU1nQUFBQlBDUWNOQUFFQUFBQURBR0FBeUFBQUFFOEFBQUFBQklBM0FRQUFBQUlJQUwwS1FBRWlVaDBCQ2dBQ0FPQUFOd1FCQUFaTkJBUUFDUUFBQUFBQUJJQTRBUUFBQUFJSUFOS2tNUUhsY2dRQkNnQUNBT0VBQWdRQ0FBZ0FLd1FDQUFBQVNBUUFBRGNFQVFBQlRRUUVBQW9BQUFBR2dBQUFBQUFBQWdnQU9JczFBVVdQQUFFRUFoQUE0eFV0QVVXUEFBSFNwRFVCaFZZSUFTTUlBUUFBQWdjQ0FBQUFBQWNOQUFFQUFBQURBR0FBeUFBQUFFOEpCdzBBQVFBQUFBTUFZQURJQUFBQVR3QUFBQUFFZ0RrQkFBQUFBZ2dBcWNBYkFibnc5d0FLQUFJQTRnQTNCQUVBQVUwRUJBQUxBQUFBQUFBRWdEb0JBQUFBQWdnQVZOTWJBU1RzM2dBS0FBSUE0d0EzQkFFQUFVMEVCQUFNQUFBQUFBQUVnRHNCQUFBQUFnZ0FEajVIQWVEQktRRUtBQUlBNUFBM0JBRUFBVTBFQkFBTkFBQUFBQUFFZ0R3QkFBQUFBZ2dBOFNZR0FmbEk2d0FLQUFJQTVRQTNCQUVBQVUwRUJBQU9BQUFBQUFBRWdEMEJBQUFBQWdnQUtUVU5BWi9MOXdBS0FBSUE1Z0EzQkFFQUFVMEVCQUFQQUFBQUFBQUVnRDRCQUFBQUFnZ0E3MndOQVYrMDNnQUtBQUlBNXdBM0JBRUFBVTBFQkFBUUFBQUFBQUFFZ0Q4QkFBQUFBZ2dBak1EM0FOOGo2d0FLQUFJQTZBQUNCQUlBSXdBckJBSUFBQUJJQkFBQU53UUJBQUZOQkFRQUVRQUFBQWFBQUFBQUFBQUNDQUR5cHZzQUg4N25BQVFDRUFCNlQvTUFIODduQVBLbSt3QWZ6dkVBSXdnQkFBQUNCd0lBQUFBRkJ3RUFBUUFIRGdBQkFBQUFBd0JnQU1nQUFBQkNjZ2tIRGdBQkFBQUFBd0JnQU1nQUFBQkNjZ0FBQUFBRWdFQUJBQUFBQWdnQVl5dEhBU1RzM2dBS0FBSUE2UUEzQkFFQUFVMEVCQUFTQUFBQUFBQUVnRUVCQUFBQUFnZ0E2OGt4QVNKU0hRRUtBQUlBNmdBM0JBRUFBVTBFQkFBVEFBQUFBQUFFZ0VJQkFBQUFBZ2dBdlFwQUFiUWVOZ0VLQUFJQTZ3QTNCQUVBQVUwRUJBQVVBQUFBQUFBRWdFTUJBQUFBQWdnQWRLUlZBZURCS1FFS0FBSUE3QUEzQkFFQUFVMEVCQUFWQUFBQUFBQUVnRVFCQUFBQUFnZ0F4dGRjQVdBeE5nRUtBQUlBN1FBM0JBRUFBVTBFQkFBV0FBQUFBQUFFZ0VVQkFBQUFBZ2dBRGo1SEFUU09RZ0VLQUFJQTdnQTNCQUVBQVUwRUJBQVhBQUFBQUFBRWdFWUJBQUFBQWdnQWRLUlZBZUNnUWdFS0FBSUE3d0EzQkFFQUFVMEVCQUFZQUFBQUFBQUZnRWNCQUFBS0FBSUE4QUFFQmdRQU1BRUFBQVVHQkFBdkFRQUFDZ1lCQUFFQUFBV0FTQUVBQUFvQUFnRHhBQVFHQkFBeEFRQUFCUVlFQURBQkFBQUtCZ0VBQVFBQUJZQkpBUUFBQ2dBQ0FQSUFCQVlFQURJQkFBQUZCZ1FBTVFFQUFBb0dBUUFCQUFBRmdFb0JBQUFLQUFJQTh3QUVCZ1FBTXdFQUFBVUdCQUF2QVFBQUNnWUJBQUVBQUFXQVN3RUFBQW9BQWdEMEFBUUdCQUEwQVFBQUJRWUVBRElCQUFBS0JnRUFBUUFBQllCTUFRQUFDZ0FDQVBVQUJBWUVBRFVCQUFBRkJnUUFMd0VBQUFBR0FnQUNBQW9HQVFBQkFBQUZnRTBCQUFBS0FBSUE5Z0FFQmdRQU5nRUFBQVVHQkFBdkFRQUFBQVlDQUFJQUNnWUJBQUVBQUFXQVRnRUFBQW9BQWdEM0FBUUdCQUEzQVFBQUJRWUVBRFFCQUFBS0JnRUFBUUFBQllCUEFRQUFDZ0FDQVBnQUJBWUVBRGdCQUFBRkJnUUFNZ0VBQUFBR0FnQUNBQW9HQVFBQkFBQUZnRkFCQUFBS0FBSUErUUFFQmdRQU9RRUFBQVVHQkFBekFRQUFBQVlDQUFJQUF3WUNBQUlBQ2dZQkFBRUxCaEFBQUFBQUFGUUJBQUJSQVFBQVNnRUFBQUFBQllCUkFRQUFDZ0FDQVBvQUJBWUVBRG9CQUFBRkJnUUFNd0VBQUFvR0FRQUJBQUFGZ0ZJQkFBQUtBQUlBK3dBRUJnUUFPd0VBQUFVR0JBQTNBUUFBQ2dZQkFBRUFBQVdBVXdFQUFBb0FBZ0Q4QUFRR0JBQThBUUFBQlFZRUFENEJBQUFLQmdFQUFRQUFCWUJVQVFBQUNnQUNBUDBBQkFZRUFEMEJBQUFGQmdRQU9RRUFBQW9HQVFBQkFBQUZnRlVCQUFBS0FBSUEvZ0FFQmdRQVBnRUFBQVVHQkFBNkFRQUFBQVlDQUFJQUF3WUNBQUVBQ2dZQkFBRUxCaEFBVXdFQUFBQUFBQUFBQUFBQVVRRUFBQUFBQllCV0FRQUFDZ0FDQVA4QUJBWUVBRDhCQUFBRkJnUUFQQUVBQUFvR0FRQUJBQUFGZ0ZjQkFBQUtBQUlBQUFFRUJnUUFRQUVBQUFVR0JBQXdBUUFBQ2dZQkFBRUFBQVdBV0FFQUFBb0FBZ0FCQVFRR0JBQkJBUUFBQlFZRUFEY0JBQUFLQmdFQUFRQUFCWUJaQVFBQUNnQUNBQUlCQkFZRUFFSUJBQUFGQmdRQU93RUFBQW9HQVFBQkFBQUZnRm9CQUFBS0FBSUFBd0VFQmdRQVF3RUFBQVVHQkFBN0FRQUFBQVlDQUFJQUF3WUNBQUlBQ2dZQkFBRUxCaEFBQUFBQUFGc0JBQUJaQVFBQVVnRUFBQUFBQllCYkFRQUFDZ0FDQUFRQkJBWUVBRVFCQUFBRkJnUUFRd0VBQUFvR0FRQUJBQUFGZ0Z3QkFBQUtBQUlBQlFFRUJnUUFSUUVBQUFVR0JBQkNBUUFBQUFZQ0FBSUFBd1lDQUFFQUNnWUJBQUVMQmhBQVh3RUFBQUFBQUFBQUFBQUFXUUVBQUFBQUJZQmRBUUFBQ2dBQ0FBWUJCQVlFQUVZQkFBQUZCZ1FBUkFFQUFBQUdBZ0FDQUFNR0FnQUNBQW9HQVFBQkN3WVFBQUFBQUFCZkFRQUFXd0VBQUFBQUFBQUFBQVdBWGdFQUFBb0FBZ0FIQVFRR0JBQThBUUFBQlFZRUFEMEJBQUFBQmdJQUFnQURCZ0lBQWdBS0JnRUFBUXNHRUFCV0FRQUFVd0VBQUZRQkFBQUFBQUFBQUFBRmdGOEJBQUFLQUFJQUNBRUVCZ1FBUmdFQUFBVUdCQUJGQVFBQUNnWUJBQUVBQUFBQUFBQUFBQUFB</t>
        </r>
      </text>
    </comment>
    <comment ref="A3" authorId="0" shapeId="0" xr:uid="{5974F3AC-16BF-4BEA-B025-92A2B11D3B73}">
      <text>
        <r>
          <rPr>
            <sz val="9"/>
            <color indexed="81"/>
            <rFont val="Tahoma"/>
            <family val="2"/>
          </rPr>
          <t>QzE1SDE2Q2xOM08yU3xQaWN0dXJlIDZ8Vm1wRFJEQXhNREFFQXdJQkFBQUFBQUFBQUFBQUFBQ0FBQUFBQUFNQUV3QUFBRU5vWlcxRWNtRjNJREl6TGpFdU1pNDNDQUFUQUFBQVZXNTBhWFJzWldRZ1JHOWpkVzFsYm5RRUFoQUE5eWYrQVAwMXl3RG9IRklCTmYxUUFRRUpDQUFBZ0JrQUFJQVpBQUlKQ0FBQXdDRUFBTUMxQWcwSUFRQUJDQWNCQUFFNkJBRUFBVHNFQVFBQVJRUUJBQUU4QkFFQUFFb0VBUUFBREFZQkFBRVBCZ0VBQVEwR0FRQUFRZ1FCQUFCREJBRUFBRVFFQVFBQURnZ0NBRE1Q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R2IzSnRkV3hoT2lDMkN3NEFBQUJGZUdGamRDQk5ZWE56T2lDM0N4UUFBQUJOYjJ4bFkzVnNZWElnVjJWcFoyaDBPaUM0Q3djQUFBQnRMM282SUxrTEZnQUFBRVZzWlcxbGJuUmhiQ0JCYm1Gc2VYTnBjem9ndWdzUkFBQUFRbTlwYkdsdVp5QlFiMmx1ZERvZ3V3c1JBQUFBVFdWc2RHbHVaeUJRYjJsdWREb2d2QXNSQUFBQVEzSnBkR2xqWVd3Z1ZHVnRjRG9ndlFzUkFBQUFRM0pwZEdsallXd2dVSEpsY3pvZ3Znc1FBQUFBUTNKcGRHbGpZV3dnVm05c09pQy9DeEFBQUFCSGFXSmljeUJGYm1WeVozazZJTUFMQ1FBQUFFeHZaeUJRT2lEQkN3WUFBQUJOVWpvZ3dnc1BBQUFBU0dWdWNua25jeUJNWVhjNklNTUxFQUFBQUVobFlYUWdiMllnUm05eWJUb2d4QXNJQUFBQWRGQlRRVG9neFFzSkFBQUFRMHh2WjFBNklNWUxCd0FBQUVOTlVqb2d4d3NJQUFBQVRHOW5Vem9neUFzSEFBQUFjRXRoT2lESkN3SUFBQURLQ3dJQUFBQUxEQUlBQVFBS0RBRUFBQWtNQVFBQURBd0ZBQUFBS0NNcEFZQzZBQUFBQkFJUUFBQUFBQUFBQUFBQUpiVmdBWndHeEE0V0NBUUFBQUFrQUJnSUJBQUFBQ1FBR1FnQUFCQUlBZ0FCQUE4SUFnQUJBQU9BaWdBQUFBUUNFQUQzSi80QS9UWExBT2djVWdFMS9WQUJDZ0FDQUlrQUJJQ0xBQUFBQUFJSUFFY3BNUUc4d0FVQkNnQUNBSW9BQWdRQ0FCQUFLd1FDQUFBQVNBUUFBRGNFQVFBQlRRUUVBQUVBQUFBR2dBQUFBQUFBQWdnQXJRODFBZnhxQWdFRUFoQUFXSm9zQWZ4cUFnRkhLVFVCZkJZSkFTTUlBUUFBQWdjQ0FBQUFBQWNOQUFFQUFBQURBR0FBeUFBQUFGTUpCdzBBQVFBQUFBTUFZQURJQUFBQVV3QUFBQUFFZ0l3QUFBQUFBZ2dBZ2RVcEFRdzhFZ0VLQUFJQWl3QUNCQUlBQndBckJBSUFBQUJJQkFBQU53UUJBQUZOQkFRQUFnQUFBQWFBQUFBQUFBQUNDQURudXkwQnJKOE9BUVFDRUFCdlpDVUJySjhPQWVlN0xRRnMyQlVCSXdnQkFBQUNCd0lBQUFBQUJ3MEFBUUFBQUFNQVlBRElBQUFBVGdrSERRQUJBQUFBQXdCZ0FNZ0FBQUJPQUFBQUFBU0FqUUFBQUFBQ0NBQ0RkeHNCZXpFckFRb0FBZ0NNQUFJRUFnQUhBQ3NFQWdBQUFFZ0VBQUEzQkFFQUFVMEVCQUFEQUFBQUJvQUFBQUFBQUFJSUFPbGRId0VibFNjQkJBSVFBSEVHRndFYmxTY0I2VjBmQWR2TkxnRWpDQUVBQUFJSEFnQUFBQUFIRFFBQkFBQUFBd0JnQU1nQUFBQk9DUWNOQUFFQUFBQURBR0FBeUFBQUFFNEFBQUFBQklDT0FBQUFBQUlJQU9kcU9BRy9NL2tBQ2dBQ0FJMEFOd1FCQUFGTkJBUUFCQUFBQUFBQUJJQ1BBQUFBQUFJSUFNRklGQUh0bVRjQkNnQUNBSTRBTndRQkFBRk5CQVFBQlFBQUFBQUFCSUNRQUFBQUFBSUlBSmVrUFFGYkFnMEJDZ0FDQUk4QUFnUUNBQWdBS3dRQ0FBQUFTQVFBQURjRUFRQUJUUVFFQUFZQUFBQUdnQUFBQUFBQUFnZ0EvWXBCQWJzZUNRRUVBaEFBcUJVNUFic2VDUUdYcEVFQisrVVFBU01JQVFBQUFnY0NBQUFBQUFjTkFBRUFBQUFEQUdBQXlBQUFBRThKQncwQUFRQUFBQU1BWUFESUFBQUFUd0FBQUFBRWdKRUFBQUFBQWdnQVNwd2tBZlZzL2dBS0FBSUFrQUFDQkFJQUNBQXJCQUlBQUFCSUJBQUFOd1FCQUFGTkJBUUFCd0FBQUFhQUFBQUFBQUFDQ0FDd2dpZ0JWWW42QUFRQ0VBQmJEU0FCVlluNkFFcWNLQUdWVUFJQkl3Z0JBQUFDQndJQUFBQUFCdzBBQVFBQUFBTUFZQURJQUFBQVR3a0hEUUFCQUFBQUF3QmdBTWdBQUFCUEFBQUFBQVNBa2dBQUFBQUNDQUJDQkRFQkJLUWVBUW9BQWdDUkFEY0VBUUFCVFFRRUFBZ0FBQUFBQUFTQWt3QUFBQUFDQ0FDRGR4c0JERHdTQVFvQUFnQ1NBRGNFQVFBQlRRUUVBQWtBQUFBQUFBU0FsQUFBQUFBQ0NBQ0RkeHNCSWdKRUFRb0FBZ0NUQUFJRUFnQUhBQ3NFQWdBQUFFZ0VBQUEzQkFFQUFVMEVCQUFLQUFBQUJvQUFBQUFBQUFJSUFPbGRId0hDWlVBQkJBSVFBSEVHRndIQ1pVQUI2VjBmQVlLZVJ3RWpDQUVBQUFJSEFnQUFBQUFIRFFBQkFBQUFBd0JnQU1nQUFBQk9DUWNOQUFFQUFBQURBR0FBeUFBQUFFNEFBQUFBQklDVkFBQUFBQUlJQU1GSUZBRUVwQjRCQ2dBQ0FKUUFOd1FCQUFGTkJBUUFDd0FBQUFBQUJJQ1dBQUFBQUFJSUFJSFZLUUY3TVNzQkNnQUNBSlVBTndRQkFBRk5CQVFBREFBQUFBQUFCSUNYQUFBQUFBSUlBT1RJUmdHL00va0FDZ0FDQUpZQU53UUJBQUZOQkFRQURRQUFBQUFBQklDWUFBQUFBQUlJQUNVOE1RRnZ1T3dBQ2dBQ0FKY0FOd1FCQUFGTkJBUUFEZ0FBQUFBQUJJQ1pBQUFBQUFJSUFPVElSZ0UxSytBQUNnQUNBSmdBTndRQkFBRk5CQVFBRHdBQUFBQUFCSUNhQUFBQUFBSUlBT2RxT0FFMUsrQUFDZ0FDQUprQU53UUJBQUZOQkFRQUVBQUFBQUFBQklDYkFBQUFBQUlJQUtYM1RRRk55K3dBQ2dBQ0FKb0FOd1FCQUFGTkJBUUFFUUFBQUFBQUJJQ2NBQUFBQUFJSUFPZ2NUZ0VkaTlNQUNnQUNBSnNBQWdRQ0FCRUFLd1FDQUFBQVNBUUFBRGNFQVFBQlRRUUVBQklBQUFBR2dBQUFBQUFBQWdnQVRnTlNBWDJuMUFBRUFoQUErWTFKQWYwMXl3RG9IRklCZmFmVUFDTUlBUUQvQVFjQkFQOENCd0lBQUFBRkJ3RUFBd0FIRGdBQkFBQUFBd0JnQU1nQUFBQkRiQWtIRGdBQkFBQUFBd0JnQU1nQUFBQkRiQUFBQUFBRWdKMEFBQUFBQWdnQUFlc0ZBZTJaTndFS0FBSUFuQUEzQkFFQUFVMEVCQUFUQUFBQUFBQUVnSjRBQUFBQUFnZ0F3VWdVQVRWOVVBRUtBQUlBblFBM0JBRUFBVTBFQkFBVUFBQUFBQUFFZ0o4QUFBQUFBZ2dBeGJ2K0FDSUNSQUVLQUFJQW5nQTNCQUVBQVUwRUJBQVZBQUFBQUFBRWdLQUFBQUFBQWdnQUFlc0ZBVFY5VUFFS0FBSUFud0EzQkFFQUFVMEVCQUFXQUFBQUFBQUZnS0VBQUFBS0FBSUFvQUFFQmdRQWpBQUFBQVVHQkFDTEFBQUFDZ1lCQUFFQUFBV0FvZ0FBQUFvQUFnQ2hBQVFHQkFDTkFBQUFCUVlFQUpVQUFBQUtCZ0VBQVFBQUJZQ2pBQUFBQ2dBQ0FLSUFCQVlFQUk0QUFBQUZCZ1FBaXdBQUFBb0dBUUFCQUFBRmdLUUFBQUFLQUFJQW93QUVCZ1FBandBQUFBVUdCQUNOQUFBQUNnWUJBQUVBQUFXQXBRQUFBQW9BQWdDa0FBUUdCQUNRQUFBQUJRWUVBSXNBQUFBQUJnSUFBZ0FLQmdFQUFRQUFCWUNtQUFBQUNnQUNBS1VBQkFZRUFKRUFBQUFGQmdRQWl3QUFBQUFHQWdBQ0FBb0dBUUFCQUFBRmdLY0FBQUFLQUFJQXBnQUVCZ1FBa2dBQUFBVUdCQUNNQUFBQUNnWUJBQUVBQUFXQXFBQUFBQW9BQWdDbkFBUUdCQUNUQUFBQUJRWUVBSXdBQUFBS0JnRUFBUUFBQllDcEFBQUFDZ0FDQUtnQUJBWUVBSlFBQUFBRkJnUUFqd0FBQUFvR0FRQUJBQUFGZ0tvQUFBQUtBQUlBcVFBRUJnUUFsUUFBQUFVR0JBQ1RBQUFBQ2dZQkFBRUFBQVdBcXdBQUFBb0FBZ0NxQUFRR0JBQ1dBQUFBQlFZRUFKSUFBQUFLQmdFQUFRQUFCWUNzQUFBQUNnQUNBS3NBQkFZRUFKY0FBQUFGQmdRQWpnQUFBQUFHQWdBQ0FBTUdBZ0FCQUFvR0FRQUJDd1lRQUxBQUFBQUFBQUFBb3dBQUFLMEFBQUFBQUFXQXJRQUFBQW9BQWdDc0FBUUdCQUNZQUFBQUJRWUVBSTRBQUFBS0JnRUFBUUFBQllDdUFBQUFDZ0FDQUswQUJBWUVBSmtBQUFBRkJnUUFtZ0FBQUFvR0FRQUJBQUFGZ0s4QUFBQUtBQUlBcmdBRUJnUUFtZ0FBQUFVR0JBQ1lBQUFBQUFZQ0FBSUFBd1lDQUFJQUNnWUJBQUVMQmhBQUFBQUFBSzRBQUFDdEFBQUFBQUFBQUFBQUJZQ3dBQUFBQ2dBQ0FLOEFCQVlFQUpzQUFBQUZCZ1FBbHdBQUFBb0dBUUFCQUFBRmdMRUFBQUFLQUFJQXNBQUVCZ1FBbkFBQUFBVUdCQUNaQUFBQUNnWUJBQUVBQUFXQXNnQUFBQW9BQWdDeEFBUUdCQUNkQUFBQUJRWUVBSThBQUFBQUJnSUFBZ0FEQmdJQUFRQUtCZ0VBQVFzR0VBQzBBQUFBQUFBQUFLUUFBQUNwQUFBQUFBQUZnTE1BQUFBS0FBSUFzZ0FFQmdRQW5nQUFBQVVHQkFDVUFBQUFBQVlDQUFJQUF3WUNBQUlBQ2dZQkFBRUxCaEFBQUFBQUFMZ0FBQUNwQUFBQUFBQUFBQUFBQllDMEFBQUFDZ0FDQUxNQUJBWUVBSjhBQUFBRkJnUUFuUUFBQUFvR0FRQUJBQUFGZ0xVQUFBQUtBQUlBdEFBRUJnUUFvQUFBQUFVR0JBQ2ZBQUFBQUFZQ0FBSUFBd1lDQUFFQUNnWUJBQUVMQmhBQXVBQUFBQUFBQUFBQUFBQUF0QUFBQUFBQUJZQzJBQUFBQ2dBQ0FMVUFCQVlFQUprQUFBQUZCZ1FBbXdBQUFBQUdBZ0FDQUFNR0FnQUJBQW9HQVFBQkN3WVFBSzRBQUFDeEFBQUFBQUFBQUxBQUFBQUFBQVdBdHdBQUFBb0FBZ0MyQUFRR0JBQ05BQUFBQlFZRUFKWUFBQUFLQmdFQUFRQUFCWUM0QUFBQUNnQUNBTGNBQkFZRUFLQUFBQUFGQmdRQW5nQUFBQW9HQVFBQkFBQUFBQUFBQUFBQUFBPT0=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<sst xmlns="http://schemas.openxmlformats.org/spreadsheetml/2006/main" count="91" uniqueCount="64">
  <si>
    <t>QS0113172</t>
  </si>
  <si>
    <t>QS ID</t>
  </si>
  <si>
    <t>InCHI Keys</t>
  </si>
  <si>
    <t>InChI=1S/C17H19BrN2O3S/c1-13(14-6-4-3-5-7-14)19-17(21)12-20(2)24(22,23)16-10-8-15(18)9-11-16/h3-11,13H,12H2,1-2H3,(H,19,21)</t>
  </si>
  <si>
    <t>SMILE</t>
  </si>
  <si>
    <t>HUGO Gene Name</t>
  </si>
  <si>
    <t>PKM</t>
  </si>
  <si>
    <t>Confirmed Target or Putative</t>
  </si>
  <si>
    <t>Putative</t>
  </si>
  <si>
    <t>Compound Name</t>
  </si>
  <si>
    <t>N/A</t>
  </si>
  <si>
    <t>Dasa-58</t>
  </si>
  <si>
    <t>InChI=1S/C13H19N4O12P/c14-10-7(11(22)16-4(13(23)24)1-6(18)19)15-3-17(10)12-9(21)8(20)5(29-12)2-28-30(25,26)27/h3-5,8-9,12,20-21H,1-2,14H2,(H,16,22)(H,18,19)(H,23,24)(H2,25,26,27)/t4-,5+,8+,9+,12+/m0/s1</t>
  </si>
  <si>
    <t>QS0321744</t>
  </si>
  <si>
    <t>Confirmed</t>
  </si>
  <si>
    <t>O=C(O)C[C@@H](C(O)=O)NC(C1=C(N)N([C@H]2[C@@H]([C@@H]([C@@H](COP(O)(O)=O)O2)O)O)C=N1)=O</t>
  </si>
  <si>
    <t>QS0321760</t>
  </si>
  <si>
    <t>PPARD</t>
  </si>
  <si>
    <t>GSK 3787</t>
  </si>
  <si>
    <t>QS0069567</t>
  </si>
  <si>
    <t>O=C(C2=CC=C(Cl)C=C2)NCCS(C1=CC=C(C(F)(F)F)C=N1)(=O)=O</t>
  </si>
  <si>
    <t>InChI=1S/C15H12ClF3N2O3S/c16-12-4-1-10(2-5-12)14(22)20-7-8-25(23,24)13-6-3-11(9-21-13)15(17,18)19/h1-6,9H,7-8H2,(H,20,22</t>
  </si>
  <si>
    <t>InChI=1S/C15H16ClN3O2S/c16-13-4-6-14(7-5-13)22(20,21)19-11-9-18(10-12-19)15-3-1-2-8-17-15/h1-8H,9-12H2</t>
  </si>
  <si>
    <t>Target Name</t>
  </si>
  <si>
    <t>Peroxisome proliferator-activated receptor delt</t>
  </si>
  <si>
    <t>Pyruvate Kinase Isozyme M2</t>
  </si>
  <si>
    <t>QS0141913</t>
  </si>
  <si>
    <t>GF 109203X</t>
  </si>
  <si>
    <t>Protein Kinase C</t>
  </si>
  <si>
    <t>PRKCA</t>
  </si>
  <si>
    <t>CN(C)CCCN1C=C(C2=CC=CC=C12)C1=C(C(=O)NC1=O)C1=CNC2=CC=CC=C12</t>
  </si>
  <si>
    <t>InChI=1S/C25H24N4O2/c1-28(2)12-7-13-29-15-19(17-9-4-6-11-21(17)29)23-22(24(30)27-25(23)31)18-14-26-20-10-5-3-8-16(18)20/h3-6,8-11,14-15,26H,7,12-13H2,1-2H3,(H,27,30,31)</t>
  </si>
  <si>
    <t>Corporate ID #</t>
  </si>
  <si>
    <t>STRUCTURE</t>
  </si>
  <si>
    <r>
      <t>C</t>
    </r>
    <r>
      <rPr>
        <vertAlign val="subscript"/>
        <sz val="11"/>
        <color theme="1"/>
        <rFont val="Aptos Narrow"/>
        <family val="2"/>
        <scheme val="minor"/>
      </rPr>
      <t>15</t>
    </r>
    <r>
      <rPr>
        <sz val="11"/>
        <color rgb="FF000000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16</t>
    </r>
    <r>
      <rPr>
        <sz val="11"/>
        <color rgb="FF000000"/>
        <rFont val="Aptos Narrow"/>
        <family val="2"/>
        <scheme val="minor"/>
      </rPr>
      <t>ClN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rgb="FF000000"/>
        <rFont val="Aptos Narrow"/>
        <family val="2"/>
        <scheme val="minor"/>
      </rPr>
      <t>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rgb="FF000000"/>
        <rFont val="Aptos Narrow"/>
        <family val="2"/>
        <scheme val="minor"/>
      </rPr>
      <t>S</t>
    </r>
  </si>
  <si>
    <t>Smiles</t>
  </si>
  <si>
    <r>
      <t>C</t>
    </r>
    <r>
      <rPr>
        <vertAlign val="subscript"/>
        <sz val="11"/>
        <color rgb="FF000000"/>
        <rFont val="Aptos Narrow"/>
        <family val="2"/>
        <scheme val="minor"/>
      </rPr>
      <t>17</t>
    </r>
    <r>
      <rPr>
        <sz val="11"/>
        <color rgb="FF000000"/>
        <rFont val="Aptos Narrow"/>
        <family val="2"/>
        <scheme val="minor"/>
      </rPr>
      <t>H</t>
    </r>
    <r>
      <rPr>
        <vertAlign val="subscript"/>
        <sz val="11"/>
        <color rgb="FF000000"/>
        <rFont val="Aptos Narrow"/>
        <family val="2"/>
        <scheme val="minor"/>
      </rPr>
      <t>19</t>
    </r>
    <r>
      <rPr>
        <sz val="11"/>
        <color rgb="FF000000"/>
        <rFont val="Aptos Narrow"/>
        <family val="2"/>
        <scheme val="minor"/>
      </rPr>
      <t>BrN</t>
    </r>
    <r>
      <rPr>
        <vertAlign val="subscript"/>
        <sz val="11"/>
        <color rgb="FF000000"/>
        <rFont val="Aptos Narrow"/>
        <family val="2"/>
        <scheme val="minor"/>
      </rPr>
      <t>2</t>
    </r>
    <r>
      <rPr>
        <sz val="11"/>
        <color rgb="FF000000"/>
        <rFont val="Aptos Narrow"/>
        <family val="2"/>
        <scheme val="minor"/>
      </rPr>
      <t>O</t>
    </r>
    <r>
      <rPr>
        <vertAlign val="subscript"/>
        <sz val="11"/>
        <color rgb="FF000000"/>
        <rFont val="Aptos Narrow"/>
        <family val="2"/>
        <scheme val="minor"/>
      </rPr>
      <t>3</t>
    </r>
    <r>
      <rPr>
        <sz val="11"/>
        <color rgb="FF000000"/>
        <rFont val="Aptos Narrow"/>
        <family val="2"/>
        <scheme val="minor"/>
      </rPr>
      <t>S</t>
    </r>
  </si>
  <si>
    <t>O=S(N(C)CC(NC(C)C1=CC=CC=C1)=O)(C2=CC=C(Br)C=C2)=O</t>
  </si>
  <si>
    <t>O=S(N1CCN(C2=CC=CC=N2)CC1)(C3=CC=C(Cl)C=C3)=O</t>
  </si>
  <si>
    <t>carbamazepine</t>
  </si>
  <si>
    <t>QS0061489</t>
  </si>
  <si>
    <t>KCNQ2 and Pan Nav</t>
  </si>
  <si>
    <t>NC(N1C3=C(C=CC=C3)C=CC2=C1C=CC=C2)=O</t>
  </si>
  <si>
    <t>Comment</t>
  </si>
  <si>
    <t>Use as control</t>
  </si>
  <si>
    <t>Known PPARD binder</t>
  </si>
  <si>
    <t>Functional Match to GSK 3787 in DFP</t>
  </si>
  <si>
    <t>Functional Match to Dasa-58 in DFP</t>
  </si>
  <si>
    <t>Known PKM2 binder</t>
  </si>
  <si>
    <t>KCNQ2</t>
  </si>
  <si>
    <t>BMS 191011</t>
  </si>
  <si>
    <t>QS0214154</t>
  </si>
  <si>
    <t>KCNMA1</t>
  </si>
  <si>
    <t>OC1=CC=C(Cl)C=C1CN1N=C(OC1=O)C1=CC=C(C=C1)C(F)(F)F</t>
  </si>
  <si>
    <t>Biperiden hydrochloride</t>
  </si>
  <si>
    <t>QS0206838</t>
  </si>
  <si>
    <t>cholinergic receptor muscarinic 3</t>
  </si>
  <si>
    <t>CHRM3</t>
  </si>
  <si>
    <t>OC(C1CC2CC1C=C2)(c1ccccc1)CCN1CCCCC1</t>
  </si>
  <si>
    <t>BIIB021</t>
  </si>
  <si>
    <t>QS0321864</t>
  </si>
  <si>
    <t>HSP90AA1</t>
  </si>
  <si>
    <t>heat shock protein 90 alpha family class A member 1</t>
  </si>
  <si>
    <t>ClC1=C2C(N(CC3=NC=C(C)C(OC)=C3C)C=N2)=NC(N)=N1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</si>
</sst>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sz val="11"/>
      <color rgb="FF000000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11"/>
      <color rgb="FF000000"/>
      <name val="Aptos Narrow"/>
      <family val="2"/>
      <scheme val="minor"/>
    </font>
    <font>
      <vertAlign val="subscript"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2</xdr:row>
      <xdr:rowOff>25400</xdr:rowOff>
    </xdr:from>
    <xdr:to>
      <xdr:col>0</xdr:col>
      <xdr:colOff>2591054</xdr:colOff>
      <xdr:row>2</xdr:row>
      <xdr:rowOff>1660652</xdr:rowOff>
    </xdr:to>
    <xdr:pic macro="[1]!'Execute &quot;1003&quot;, 0'">
      <xdr:nvPicPr>
        <xdr:cNvPr id="7" name="Picture 6">
          <a:extLst>
            <a:ext uri="{FF2B5EF4-FFF2-40B4-BE49-F238E27FC236}">
              <a16:creationId xmlns:a16="http://schemas.microsoft.com/office/drawing/2014/main" id="{7F06A27A-5D97-8162-982C-09F860547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" y="2063750"/>
          <a:ext cx="2565654" cy="1635252"/>
        </a:xfrm>
        <a:prstGeom prst="rect">
          <a:avLst/>
        </a:prstGeom>
      </xdr:spPr>
    </xdr:pic>
    <xdr:clientData/>
  </xdr:twoCellAnchor>
  <xdr:twoCellAnchor>
    <xdr:from>
      <xdr:col>0</xdr:col>
      <xdr:colOff>25400</xdr:colOff>
      <xdr:row>1</xdr:row>
      <xdr:rowOff>25400</xdr:rowOff>
    </xdr:from>
    <xdr:to>
      <xdr:col>0</xdr:col>
      <xdr:colOff>2097659</xdr:colOff>
      <xdr:row>1</xdr:row>
      <xdr:rowOff>2090611</xdr:rowOff>
    </xdr:to>
    <xdr:pic macro="[1]!'Execute &quot;1003&quot;, 0'">
      <xdr:nvPicPr>
        <xdr:cNvPr id="9" name="Picture 8">
          <a:extLst>
            <a:ext uri="{FF2B5EF4-FFF2-40B4-BE49-F238E27FC236}">
              <a16:creationId xmlns:a16="http://schemas.microsoft.com/office/drawing/2014/main" id="{59B232E7-5D9D-9672-5B1F-70BA938F2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77800"/>
          <a:ext cx="2072259" cy="206521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my.elder/AppData/Roaming/RevvitySignalsSoftware/ChemDrawApplications_x64/ChemDraw%20for%20Excel/ChemDrawExcel.xla" TargetMode="External"/><Relationship Id="rId2" Type="http://schemas.openxmlformats.org/officeDocument/2006/relationships/externalLinkPath" Target="file:///C:\Users\amy.elder\AppData\Roaming\RevvitySignalsSoftware\ChemDrawApplications_x64\ChemDraw%20for%20Excel\ChemDrawExcel.xla" TargetMode="External"/><Relationship Id="rId1" Type="http://schemas.openxmlformats.org/officeDocument/2006/relationships/externalLinkPath" Target="/Users/amy.elder/AppData/Roaming/RevvitySignalsSoftware/ChemDrawApplications_x64/ChemDraw%20for%20Excel/ChemDrawExcel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ChemDrawExcel"/>
    </sheetNames>
    <definedNames>
      <definedName name="Execute &quot;1003&quot;, 0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B13F-AEE6-40E0-B7F2-D6DBC58CEA67}">
  <dimension ref="A1:H17"/>
  <sheetViews>
    <sheetView tabSelected="1" workbookViewId="0">
      <selection activeCell="D17" sqref="D17"/>
    </sheetView>
  </sheetViews>
  <sheetFormatPr defaultRowHeight="14.5" x14ac:dyDescent="0.35"/>
  <cols>
    <col min="1" max="1" width="11.26953125" customWidth="1"/>
    <col min="2" max="2" width="22.26953125" customWidth="1"/>
    <col min="3" max="6" width="37.1796875" customWidth="1"/>
    <col min="7" max="7" width="133.26953125" customWidth="1"/>
    <col min="8" max="8" width="110" customWidth="1"/>
  </cols>
  <sheetData>
    <row r="1" spans="1:8" x14ac:dyDescent="0.35">
      <c r="A1" s="1" t="s">
        <v>1</v>
      </c>
      <c r="B1" s="1" t="s">
        <v>9</v>
      </c>
      <c r="C1" s="1" t="s">
        <v>23</v>
      </c>
      <c r="D1" s="1" t="s">
        <v>5</v>
      </c>
      <c r="E1" s="1" t="s">
        <v>7</v>
      </c>
      <c r="F1" s="1" t="s">
        <v>43</v>
      </c>
      <c r="G1" s="1" t="s">
        <v>4</v>
      </c>
      <c r="H1" s="1" t="s">
        <v>2</v>
      </c>
    </row>
    <row r="2" spans="1:8" x14ac:dyDescent="0.35">
      <c r="A2" t="s">
        <v>0</v>
      </c>
      <c r="B2" t="s">
        <v>10</v>
      </c>
      <c r="C2" t="s">
        <v>25</v>
      </c>
      <c r="D2" t="s">
        <v>6</v>
      </c>
      <c r="E2" t="s">
        <v>8</v>
      </c>
      <c r="F2" t="s">
        <v>47</v>
      </c>
      <c r="G2" t="s">
        <v>37</v>
      </c>
      <c r="H2" t="s">
        <v>3</v>
      </c>
    </row>
    <row r="3" spans="1:8" x14ac:dyDescent="0.35">
      <c r="A3" t="s">
        <v>13</v>
      </c>
      <c r="B3" t="s">
        <v>11</v>
      </c>
      <c r="C3" t="s">
        <v>25</v>
      </c>
      <c r="D3" t="s">
        <v>6</v>
      </c>
      <c r="E3" t="s">
        <v>14</v>
      </c>
      <c r="F3" t="s">
        <v>48</v>
      </c>
      <c r="G3" s="6" t="s">
        <v>15</v>
      </c>
      <c r="H3" t="s">
        <v>12</v>
      </c>
    </row>
    <row r="4" spans="1:8" x14ac:dyDescent="0.35">
      <c r="G4" s="6"/>
    </row>
    <row r="5" spans="1:8" x14ac:dyDescent="0.35">
      <c r="G5" s="6"/>
    </row>
    <row r="6" spans="1:8" x14ac:dyDescent="0.35">
      <c r="G6" s="6"/>
    </row>
    <row r="7" spans="1:8" x14ac:dyDescent="0.35">
      <c r="G7" s="6"/>
    </row>
    <row r="8" spans="1:8" x14ac:dyDescent="0.35">
      <c r="A8" t="s">
        <v>16</v>
      </c>
      <c r="B8" t="s">
        <v>18</v>
      </c>
      <c r="C8" t="s">
        <v>24</v>
      </c>
      <c r="D8" t="s">
        <v>17</v>
      </c>
      <c r="E8" t="s">
        <v>14</v>
      </c>
      <c r="F8" t="s">
        <v>45</v>
      </c>
      <c r="G8" s="6" t="s">
        <v>20</v>
      </c>
      <c r="H8" t="s">
        <v>21</v>
      </c>
    </row>
    <row r="9" spans="1:8" x14ac:dyDescent="0.35">
      <c r="A9" t="s">
        <v>19</v>
      </c>
      <c r="B9" t="s">
        <v>10</v>
      </c>
      <c r="C9" t="s">
        <v>24</v>
      </c>
      <c r="D9" t="s">
        <v>17</v>
      </c>
      <c r="E9" t="s">
        <v>8</v>
      </c>
      <c r="F9" t="s">
        <v>46</v>
      </c>
      <c r="G9" s="6" t="s">
        <v>38</v>
      </c>
      <c r="H9" t="s">
        <v>22</v>
      </c>
    </row>
    <row r="10" spans="1:8" x14ac:dyDescent="0.35">
      <c r="A10" t="s">
        <v>0</v>
      </c>
      <c r="B10" t="s">
        <v>10</v>
      </c>
      <c r="C10" t="s">
        <v>24</v>
      </c>
      <c r="D10" t="s">
        <v>17</v>
      </c>
      <c r="E10" t="s">
        <v>8</v>
      </c>
      <c r="F10" t="s">
        <v>46</v>
      </c>
      <c r="G10" s="6" t="s">
        <v>37</v>
      </c>
      <c r="H10" t="s">
        <v>3</v>
      </c>
    </row>
    <row r="11" spans="1:8" x14ac:dyDescent="0.35">
      <c r="G11" s="6"/>
    </row>
    <row r="12" spans="1:8" x14ac:dyDescent="0.35">
      <c r="G12" s="6"/>
    </row>
    <row r="13" spans="1:8" x14ac:dyDescent="0.35">
      <c r="A13" t="s">
        <v>26</v>
      </c>
      <c r="B13" t="s">
        <v>27</v>
      </c>
      <c r="C13" t="s">
        <v>28</v>
      </c>
      <c r="D13" t="s">
        <v>29</v>
      </c>
      <c r="E13" t="s">
        <v>14</v>
      </c>
      <c r="F13" t="s">
        <v>44</v>
      </c>
      <c r="G13" s="6" t="s">
        <v>30</v>
      </c>
      <c r="H13" t="s">
        <v>31</v>
      </c>
    </row>
    <row r="14" spans="1:8" x14ac:dyDescent="0.35">
      <c r="A14" t="s">
        <v>40</v>
      </c>
      <c r="B14" t="s">
        <v>39</v>
      </c>
      <c r="C14" t="s">
        <v>41</v>
      </c>
      <c r="D14" t="s">
        <v>49</v>
      </c>
      <c r="E14" t="s">
        <v>14</v>
      </c>
      <c r="F14" t="s">
        <v>44</v>
      </c>
      <c r="G14" t="s">
        <v>42</v>
      </c>
    </row>
    <row r="15" spans="1:8" x14ac:dyDescent="0.35">
      <c r="A15" t="s">
        <v>51</v>
      </c>
      <c r="B15" t="s">
        <v>50</v>
      </c>
      <c r="C15" t="s">
        <v>52</v>
      </c>
      <c r="D15" t="s">
        <v>52</v>
      </c>
      <c r="E15" t="s">
        <v>14</v>
      </c>
      <c r="F15" t="s">
        <v>44</v>
      </c>
      <c r="G15" t="s">
        <v>53</v>
      </c>
    </row>
    <row r="16" spans="1:8" x14ac:dyDescent="0.35">
      <c r="A16" t="s">
        <v>55</v>
      </c>
      <c r="B16" t="s">
        <v>54</v>
      </c>
      <c r="C16" t="s">
        <v>56</v>
      </c>
      <c r="D16" t="s">
        <v>57</v>
      </c>
      <c r="E16" t="s">
        <v>14</v>
      </c>
      <c r="F16" t="s">
        <v>44</v>
      </c>
      <c r="G16" t="s">
        <v>58</v>
      </c>
    </row>
    <row r="17" spans="1:7" x14ac:dyDescent="0.35">
      <c r="A17" t="s">
        <v>60</v>
      </c>
      <c r="B17" t="s">
        <v>59</v>
      </c>
      <c r="C17" t="s">
        <v>62</v>
      </c>
      <c r="D17" t="s">
        <v>61</v>
      </c>
      <c r="E17" t="s">
        <v>14</v>
      </c>
      <c r="F17" t="s">
        <v>44</v>
      </c>
      <c r="G17" t="s">
        <v>63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31A9-225D-4AE6-9B20-6CB4543F65E1}">
  <dimension ref="A1:C4"/>
  <sheetViews>
    <sheetView workbookViewId="0">
      <selection activeCell="C3" sqref="C3"/>
    </sheetView>
  </sheetViews>
  <sheetFormatPr defaultRowHeight="14.5" x14ac:dyDescent="0.35"/>
  <cols>
    <col min="1" max="1" width="39.54296875" customWidth="1"/>
    <col min="2" max="2" width="32.26953125" customWidth="1"/>
    <col min="3" max="3" width="55.7265625" customWidth="1"/>
  </cols>
  <sheetData>
    <row r="1" spans="1:3" ht="12" customHeight="1" x14ac:dyDescent="0.35">
      <c r="A1" s="4" t="s">
        <v>33</v>
      </c>
      <c r="B1" s="4" t="s">
        <v>32</v>
      </c>
      <c r="C1" s="5" t="s">
        <v>35</v>
      </c>
    </row>
    <row r="2" spans="1:3" ht="182.65" customHeight="1" x14ac:dyDescent="0.45">
      <c r="A2" s="3" t="s">
        <v>36</v>
      </c>
      <c r="B2" s="2" t="s">
        <v>0</v>
      </c>
      <c r="C2" t="str" cm="1">
        <f t="array" ref="C2">_xll.ChemDrawExcelAddIn22.Functions.CHEM_SMILES(A2)</f>
        <v>O=S(N(C)CC(NC(C)C1=CC=CC=C1)=O)(C2=CC=C(Br)C=C2)=O</v>
      </c>
    </row>
    <row r="3" spans="1:3" ht="182.9" customHeight="1" x14ac:dyDescent="0.45">
      <c r="A3" s="3" t="s">
        <v>34</v>
      </c>
      <c r="B3" s="2" t="s">
        <v>19</v>
      </c>
      <c r="C3" t="str" cm="1">
        <f t="array" ref="C3">_xll.ChemDrawExcelAddIn22.Functions.CHEM_SMILES(A3)</f>
        <v>O=S(N1CCN(C2=CC=CC=N2)CC1)(C3=CC=C(Cl)C=C3)=O</v>
      </c>
    </row>
    <row r="4" spans="1:3" ht="16" x14ac:dyDescent="0.35">
      <c r="B4" s="2"/>
    </row>
  </sheetData>
  <pageMargins left="0.7" right="0.7" top="0.75" bottom="0.75" header="0.3" footer="0.3"/>
  <customProperties>
    <customPr name="cdxldocument" r:id="rId1"/>
  </customPropertie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Smiles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Harwood</dc:creator>
  <cp:lastModifiedBy>Benjamin Harwood</cp:lastModifiedBy>
  <dcterms:created xsi:type="dcterms:W3CDTF">2026-06-11T13:44:19Z</dcterms:created>
  <dcterms:modified xsi:type="dcterms:W3CDTF">2026-06-11T20:33:37Z</dcterms:modified>
</cp:coreProperties>
</file>